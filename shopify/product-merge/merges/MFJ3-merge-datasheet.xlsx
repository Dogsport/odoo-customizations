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Unisex" sheetId="2" state="visible" r:id="rId4"/>
    <sheet name="Damen" sheetId="3" state="visible" r:id="rId5"/>
  </sheets>
  <definedNames>
    <definedName function="false" hidden="true" localSheetId="2" name="_xlnm._FilterDatabase" vbProcedure="false">Damen!$A$4:$N$28</definedName>
    <definedName function="false" hidden="true" localSheetId="1" name="_xlnm._FilterDatabase" vbProcedure="false">Unisex!$A$4:$N$25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From Shopify metafield reviews.rating_count at export</t>
        </r>
      </text>
    </comment>
    <comment ref="F6" authorId="0">
      <text>
        <r>
          <rPr>
            <sz val="10"/>
            <rFont val="Arial"/>
            <family val="2"/>
          </rPr>
          <t xml:space="preserve">From Shopify metafield reviews.rating_count at export</t>
        </r>
      </text>
    </comment>
    <comment ref="F7" authorId="0">
      <text>
        <r>
          <rPr>
            <sz val="10"/>
            <rFont val="Arial"/>
            <family val="2"/>
          </rPr>
          <t xml:space="preserve">From Shopify metafield reviews.rating_count at export</t>
        </r>
      </text>
    </comment>
    <comment ref="F10" authorId="0">
      <text>
        <r>
          <rPr>
            <sz val="10"/>
            <rFont val="Arial"/>
            <family val="2"/>
          </rPr>
          <t xml:space="preserve">From Shopify metafield reviews.rating_count at export</t>
        </r>
      </text>
    </comment>
    <comment ref="F11" authorId="0">
      <text>
        <r>
          <rPr>
            <sz val="10"/>
            <rFont val="Arial"/>
            <family val="2"/>
          </rPr>
          <t xml:space="preserve">From Shopify metafield reviews.rating_count at export</t>
        </r>
      </text>
    </comment>
    <comment ref="F12" authorId="0">
      <text>
        <r>
          <rPr>
            <sz val="10"/>
            <rFont val="Arial"/>
            <family val="2"/>
          </rPr>
          <t xml:space="preserve">From Shopify metafield reviews.rating_count at export</t>
        </r>
      </text>
    </comment>
  </commentList>
</comments>
</file>

<file path=xl/sharedStrings.xml><?xml version="1.0" encoding="utf-8"?>
<sst xmlns="http://schemas.openxmlformats.org/spreadsheetml/2006/main" count="405" uniqueCount="102">
  <si>
    <t xml:space="preserve">MFJ 3.0 colour merge – overview</t>
  </si>
  <si>
    <t xml:space="preserve">Source: Shopify product export (products_export.csv), 15.10.2026. Stock = Shopify stock at export time (Odoo is the source of truth).</t>
  </si>
  <si>
    <t xml:space="preserve">Main product</t>
  </si>
  <si>
    <t xml:space="preserve">Colour</t>
  </si>
  <si>
    <t xml:space="preserve">Old product (handle)</t>
  </si>
  <si>
    <t xml:space="preserve">Variants</t>
  </si>
  <si>
    <t xml:space="preserve">Shopify stock</t>
  </si>
  <si>
    <t xml:space="preserve">Reviews (Judge.me)</t>
  </si>
  <si>
    <t xml:space="preserve">Action</t>
  </si>
  <si>
    <t xml:space="preserve">MFJ 3.0 Unisex</t>
  </si>
  <si>
    <t xml:space="preserve">Schwarz</t>
  </si>
  <si>
    <t xml:space="preserve">iq-multifunktionsjacke-3-0-unisex</t>
  </si>
  <si>
    <t xml:space="preserve">Main product (keep, add colours)</t>
  </si>
  <si>
    <t xml:space="preserve">Graublau</t>
  </si>
  <si>
    <t xml:space="preserve">iq-multifunktionsjacke-3-0-unisex-blau-limited-edition</t>
  </si>
  <si>
    <t xml:space="preserve">Merge into main → Draft → delete + 301 redirect</t>
  </si>
  <si>
    <t xml:space="preserve">Olive</t>
  </si>
  <si>
    <t xml:space="preserve">iq-multifunktionsjacke-3-0-unisex-olive</t>
  </si>
  <si>
    <t xml:space="preserve">Total Unisex</t>
  </si>
  <si>
    <t xml:space="preserve">After merge: one product</t>
  </si>
  <si>
    <t xml:space="preserve">MFJ 3.0 Damen</t>
  </si>
  <si>
    <t xml:space="preserve">iq-multifunktionsjacke-3-0-damen-schwarz</t>
  </si>
  <si>
    <t xml:space="preserve">iq-multifunktionsjacke-3-0-damen-blau-limited-edition</t>
  </si>
  <si>
    <t xml:space="preserve">iq-multifunktionsjacke-3-0-damen-olive</t>
  </si>
  <si>
    <t xml:space="preserve">Total Damen</t>
  </si>
  <si>
    <t xml:space="preserve">Notes</t>
  </si>
  <si>
    <t xml:space="preserve">• All 6 products already have options Größe + Farbe → just add new Farbe values on the main product.</t>
  </si>
  <si>
    <t xml:space="preserve">• Size ranges match: Unisex S–4XL (7) in all colours, Damen XS–4XL (8) in all colours → no combinations to delete.</t>
  </si>
  <si>
    <t xml:space="preserve">• Blau products use value "graublau" → use "Graublau" on the main product (theme swatch list has Graublau:#6d728c).</t>
  </si>
  <si>
    <t xml:space="preserve">• SKU pattern: IQD-EKL-MFJ3.* = Unisex, IQD-EKL-MJD3.* = Damen; .BK = Schwarz, .BL = Blau, .OL = Olive.</t>
  </si>
  <si>
    <t xml:space="preserve">• Price 279.90 € and cost 88.70 € identical for all variants. Unisex Blau weight is 1480 g for every size – please verify.</t>
  </si>
  <si>
    <t xml:space="preserve">MFJ 3.0 Unisex – main product: /products/iq-multifunktionsjacke-3-0-unisex</t>
  </si>
  <si>
    <t xml:space="preserve">Keep = already on main product (only add Farbe value check). Add = new variant to create on main product with exactly this SKU. Yellow column = tick when done.</t>
  </si>
  <si>
    <t xml:space="preserve">Done ✓</t>
  </si>
  <si>
    <t xml:space="preserve">Größe</t>
  </si>
  <si>
    <t xml:space="preserve">Farbe (new value)</t>
  </si>
  <si>
    <t xml:space="preserve">Farbe (old value)</t>
  </si>
  <si>
    <t xml:space="preserve">SKU</t>
  </si>
  <si>
    <t xml:space="preserve">Barcode</t>
  </si>
  <si>
    <t xml:space="preserve">Price €</t>
  </si>
  <si>
    <t xml:space="preserve">Compare-at €</t>
  </si>
  <si>
    <t xml:space="preserve">Weight g</t>
  </si>
  <si>
    <t xml:space="preserve">Cost €</t>
  </si>
  <si>
    <t xml:space="preserve">Keep (exists)</t>
  </si>
  <si>
    <t xml:space="preserve">S</t>
  </si>
  <si>
    <t xml:space="preserve">IQD-EKL-MFJ3.BK.S</t>
  </si>
  <si>
    <t xml:space="preserve">Add to main product</t>
  </si>
  <si>
    <t xml:space="preserve">graublau</t>
  </si>
  <si>
    <t xml:space="preserve">IQD-EKL-MFJ3.BL.S</t>
  </si>
  <si>
    <t xml:space="preserve">Rename value graublau → Graublau (matches theme swatch list); Weight 1480 g on all Unisex Blau sizes – check vs Schwarz/Olive</t>
  </si>
  <si>
    <t xml:space="preserve">IQD-EKL-MFJ3.OL.S</t>
  </si>
  <si>
    <t xml:space="preserve">M</t>
  </si>
  <si>
    <t xml:space="preserve">IQD-EKL-MFJ3.BK.M</t>
  </si>
  <si>
    <t xml:space="preserve">IQD-EKL-MFJ3.BL.M</t>
  </si>
  <si>
    <t xml:space="preserve">IQD-EKL-MFJ3.OL.M</t>
  </si>
  <si>
    <t xml:space="preserve">L</t>
  </si>
  <si>
    <t xml:space="preserve">IQD-EKL-MFJ3.BK.L</t>
  </si>
  <si>
    <t xml:space="preserve">IQD-EKL-MFJ3.BL.L</t>
  </si>
  <si>
    <t xml:space="preserve">IQD-EKL-MFJ3.OL.L</t>
  </si>
  <si>
    <t xml:space="preserve">XL</t>
  </si>
  <si>
    <t xml:space="preserve">IQD-EKL-MFJ3.BK.XL</t>
  </si>
  <si>
    <t xml:space="preserve">IQD-EKL-MFJ3.BL.XL</t>
  </si>
  <si>
    <t xml:space="preserve">IQD-EKL-MFJ3.OL.XL</t>
  </si>
  <si>
    <t xml:space="preserve">2XL</t>
  </si>
  <si>
    <t xml:space="preserve">IQD-EKL-MFJ3.BK.2XL</t>
  </si>
  <si>
    <t xml:space="preserve">IQD-EKL-MFJ3.BL.2XL</t>
  </si>
  <si>
    <t xml:space="preserve">IQD-EKL-MFJ3.OL.2XL</t>
  </si>
  <si>
    <t xml:space="preserve">3XL</t>
  </si>
  <si>
    <t xml:space="preserve">IQD-EKL-MFJ3.BK.3XL</t>
  </si>
  <si>
    <t xml:space="preserve">IQD-EKL-MFJ3.BL.3XL</t>
  </si>
  <si>
    <t xml:space="preserve">IQD-EKL-MFJ3.OL.3XL</t>
  </si>
  <si>
    <t xml:space="preserve">4XL</t>
  </si>
  <si>
    <t xml:space="preserve">IQD-EKL-MFJ3.BK.4XL</t>
  </si>
  <si>
    <t xml:space="preserve">IQD-EKL-MFJ3.BL.4XL</t>
  </si>
  <si>
    <t xml:space="preserve">IQD-EKL-MFJ3.OL.4XL</t>
  </si>
  <si>
    <t xml:space="preserve">MFJ 3.0 Damen – main product: /products/iq-multifunktionsjacke-3-0-damen-schwarz</t>
  </si>
  <si>
    <t xml:space="preserve">XS</t>
  </si>
  <si>
    <t xml:space="preserve">IQD-EKL-MJD3.BK.XS</t>
  </si>
  <si>
    <t xml:space="preserve">IQD-EKL-MJD3.BL.XS</t>
  </si>
  <si>
    <t xml:space="preserve">Rename value graublau → Graublau (matches theme swatch list)</t>
  </si>
  <si>
    <t xml:space="preserve">IQD-EKL-MJD3.OL.XS</t>
  </si>
  <si>
    <t xml:space="preserve">IQD-EKL-MJD3.BK.S</t>
  </si>
  <si>
    <t xml:space="preserve">IQD-EKL-MJD3.BL.S</t>
  </si>
  <si>
    <t xml:space="preserve">IQD-EKL-MJD3.OL.S</t>
  </si>
  <si>
    <t xml:space="preserve">IQD-EKL-MJD3.BK.M</t>
  </si>
  <si>
    <t xml:space="preserve">IQD-EKL-MJD3.BL.M</t>
  </si>
  <si>
    <t xml:space="preserve">IQD-EKL-MJD3.OL.M</t>
  </si>
  <si>
    <t xml:space="preserve">IQD-EKL-MJD3.BK.L</t>
  </si>
  <si>
    <t xml:space="preserve">IQD-EKL-MJD3.BL.L</t>
  </si>
  <si>
    <t xml:space="preserve">IQD-EKL-MJD3.OL.L</t>
  </si>
  <si>
    <t xml:space="preserve">IQD-EKL-MJD3.BK.XL</t>
  </si>
  <si>
    <t xml:space="preserve">IQD-EKL-MJD3.BL.XL</t>
  </si>
  <si>
    <t xml:space="preserve">IQD-EKL-MJD3.OL.XL</t>
  </si>
  <si>
    <t xml:space="preserve">IQD-EKL-MJD3.BK.2XL</t>
  </si>
  <si>
    <t xml:space="preserve">IQD-EKL-MJD3.BL.2XL</t>
  </si>
  <si>
    <t xml:space="preserve">IQD-EKL-MJD3.OL.2XL</t>
  </si>
  <si>
    <t xml:space="preserve">IQD-EKL-MJD3.BK.3XL</t>
  </si>
  <si>
    <t xml:space="preserve">IQD-EKL-MJD3.BL.3XL</t>
  </si>
  <si>
    <t xml:space="preserve">IQD-EKL-MJD3.OL.3XL</t>
  </si>
  <si>
    <t xml:space="preserve">IQD-EKL-MJD3.BK.4XL</t>
  </si>
  <si>
    <t xml:space="preserve">IQD-EKL-MJD3.BL.4XL</t>
  </si>
  <si>
    <t xml:space="preserve">IQD-EKL-MJD3.OL.4XL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</si>
</sst>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4B55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  <fill>
      <patternFill patternType="solid">
        <fgColor rgb="FFFEF9C3"/>
        <bgColor rgb="FFFFFF99"/>
      </patternFill>
    </fill>
    <fill>
      <patternFill patternType="solid">
        <fgColor rgb="FFE5E7EB"/>
        <bgColor rgb="FFF3F4F6"/>
      </patternFill>
    </fill>
    <fill>
      <patternFill patternType="solid">
        <fgColor rgb="FFDCFCE7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5E7E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n">
        <f aca="false">COUNTIFS(Unisex!$D$5:$D$25,B5,Unisex!$F$5:$F$25,C5)</f>
        <v>7</v>
      </c>
      <c r="E5" s="4" t="n">
        <f aca="false">SUMIFS(Unisex!$L$5:$L$25,Unisex!$D$5:$D$25,B5,Unisex!$F$5:$F$25,C5)</f>
        <v>370</v>
      </c>
      <c r="F5" s="4" t="n">
        <v>134</v>
      </c>
      <c r="G5" s="4" t="s">
        <v>12</v>
      </c>
    </row>
    <row r="6" customFormat="false" ht="15" hidden="false" customHeight="false" outlineLevel="0" collapsed="false">
      <c r="A6" s="5" t="s">
        <v>9</v>
      </c>
      <c r="B6" s="5" t="s">
        <v>13</v>
      </c>
      <c r="C6" s="5" t="s">
        <v>14</v>
      </c>
      <c r="D6" s="5" t="n">
        <f aca="false">COUNTIFS(Unisex!$D$5:$D$25,B6,Unisex!$F$5:$F$25,C6)</f>
        <v>7</v>
      </c>
      <c r="E6" s="5" t="n">
        <f aca="false">SUMIFS(Unisex!$L$5:$L$25,Unisex!$D$5:$D$25,B6,Unisex!$F$5:$F$25,C6)</f>
        <v>134</v>
      </c>
      <c r="F6" s="5" t="n">
        <v>7</v>
      </c>
      <c r="G6" s="5" t="s">
        <v>15</v>
      </c>
    </row>
    <row r="7" customFormat="false" ht="15" hidden="false" customHeight="false" outlineLevel="0" collapsed="false">
      <c r="A7" s="5" t="s">
        <v>9</v>
      </c>
      <c r="B7" s="5" t="s">
        <v>16</v>
      </c>
      <c r="C7" s="5" t="s">
        <v>17</v>
      </c>
      <c r="D7" s="5" t="n">
        <f aca="false">COUNTIFS(Unisex!$D$5:$D$25,B7,Unisex!$F$5:$F$25,C7)</f>
        <v>7</v>
      </c>
      <c r="E7" s="5" t="n">
        <f aca="false">SUMIFS(Unisex!$L$5:$L$25,Unisex!$D$5:$D$25,B7,Unisex!$F$5:$F$25,C7)</f>
        <v>112</v>
      </c>
      <c r="F7" s="5" t="n">
        <v>56</v>
      </c>
      <c r="G7" s="5" t="s">
        <v>15</v>
      </c>
    </row>
    <row r="8" customFormat="false" ht="15" hidden="false" customHeight="false" outlineLevel="0" collapsed="false">
      <c r="A8" s="6" t="s">
        <v>18</v>
      </c>
      <c r="B8" s="6"/>
      <c r="C8" s="6"/>
      <c r="D8" s="6" t="n">
        <f aca="false">SUM(D5:D7)</f>
        <v>21</v>
      </c>
      <c r="E8" s="6" t="n">
        <f aca="false">SUM(E5:E7)</f>
        <v>616</v>
      </c>
      <c r="F8" s="6" t="n">
        <f aca="false">SUM(F5:F7)</f>
        <v>197</v>
      </c>
      <c r="G8" s="6" t="s">
        <v>19</v>
      </c>
    </row>
    <row r="10" customFormat="false" ht="15" hidden="false" customHeight="false" outlineLevel="0" collapsed="false">
      <c r="A10" s="4" t="s">
        <v>20</v>
      </c>
      <c r="B10" s="4" t="s">
        <v>10</v>
      </c>
      <c r="C10" s="4" t="s">
        <v>21</v>
      </c>
      <c r="D10" s="4" t="n">
        <f aca="false">COUNTIFS(Damen!$D$5:$D$28,B10,Damen!$F$5:$F$28,C10)</f>
        <v>8</v>
      </c>
      <c r="E10" s="4" t="n">
        <f aca="false">SUMIFS(Damen!$L$5:$L$28,Damen!$D$5:$D$28,B10,Damen!$F$5:$F$28,C10)</f>
        <v>101</v>
      </c>
      <c r="F10" s="4" t="n">
        <v>88</v>
      </c>
      <c r="G10" s="4" t="s">
        <v>12</v>
      </c>
    </row>
    <row r="11" customFormat="false" ht="15" hidden="false" customHeight="false" outlineLevel="0" collapsed="false">
      <c r="A11" s="5" t="s">
        <v>20</v>
      </c>
      <c r="B11" s="5" t="s">
        <v>13</v>
      </c>
      <c r="C11" s="5" t="s">
        <v>22</v>
      </c>
      <c r="D11" s="5" t="n">
        <f aca="false">COUNTIFS(Damen!$D$5:$D$28,B11,Damen!$F$5:$F$28,C11)</f>
        <v>8</v>
      </c>
      <c r="E11" s="5" t="n">
        <f aca="false">SUMIFS(Damen!$L$5:$L$28,Damen!$D$5:$D$28,B11,Damen!$F$5:$F$28,C11)</f>
        <v>83</v>
      </c>
      <c r="F11" s="5" t="n">
        <v>13</v>
      </c>
      <c r="G11" s="5" t="s">
        <v>15</v>
      </c>
    </row>
    <row r="12" customFormat="false" ht="15" hidden="false" customHeight="false" outlineLevel="0" collapsed="false">
      <c r="A12" s="5" t="s">
        <v>20</v>
      </c>
      <c r="B12" s="5" t="s">
        <v>16</v>
      </c>
      <c r="C12" s="5" t="s">
        <v>23</v>
      </c>
      <c r="D12" s="5" t="n">
        <f aca="false">COUNTIFS(Damen!$D$5:$D$28,B12,Damen!$F$5:$F$28,C12)</f>
        <v>8</v>
      </c>
      <c r="E12" s="5" t="n">
        <f aca="false">SUMIFS(Damen!$L$5:$L$28,Damen!$D$5:$D$28,B12,Damen!$F$5:$F$28,C12)</f>
        <v>74</v>
      </c>
      <c r="F12" s="5" t="n">
        <v>55</v>
      </c>
      <c r="G12" s="5" t="s">
        <v>15</v>
      </c>
    </row>
    <row r="13" customFormat="false" ht="15" hidden="false" customHeight="false" outlineLevel="0" collapsed="false">
      <c r="A13" s="6" t="s">
        <v>24</v>
      </c>
      <c r="B13" s="6"/>
      <c r="C13" s="6"/>
      <c r="D13" s="6" t="n">
        <f aca="false">SUM(D10:D12)</f>
        <v>24</v>
      </c>
      <c r="E13" s="6" t="n">
        <f aca="false">SUM(E10:E12)</f>
        <v>258</v>
      </c>
      <c r="F13" s="6" t="n">
        <f aca="false">SUM(F10:F12)</f>
        <v>156</v>
      </c>
      <c r="G13" s="6" t="s">
        <v>19</v>
      </c>
    </row>
    <row r="15" customFormat="false" ht="15" hidden="false" customHeight="false" outlineLevel="0" collapsed="false">
      <c r="A15" s="7" t="s">
        <v>25</v>
      </c>
    </row>
    <row r="16" customFormat="false" ht="15" hidden="false" customHeight="false" outlineLevel="0" collapsed="false">
      <c r="A16" s="8" t="s">
        <v>26</v>
      </c>
    </row>
    <row r="17" customFormat="false" ht="15" hidden="false" customHeight="false" outlineLevel="0" collapsed="false">
      <c r="A17" s="8" t="s">
        <v>27</v>
      </c>
    </row>
    <row r="18" customFormat="false" ht="15" hidden="false" customHeight="false" outlineLevel="0" collapsed="false">
      <c r="A18" s="8" t="s">
        <v>28</v>
      </c>
    </row>
    <row r="19" customFormat="false" ht="15" hidden="false" customHeight="false" outlineLevel="0" collapsed="false">
      <c r="A19" s="8" t="s">
        <v>29</v>
      </c>
    </row>
    <row r="20" customFormat="false" ht="15" hidden="false" customHeight="false" outlineLevel="0" collapsed="false">
      <c r="A20" s="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52"/>
    <col collapsed="false" customWidth="true" hidden="false" outlineLevel="0" max="8" min="7" style="0" width="2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40"/>
  </cols>
  <sheetData>
    <row r="1" customFormat="false" ht="16.15" hidden="false" customHeight="false" outlineLevel="0" collapsed="false">
      <c r="A1" s="9" t="s">
        <v>31</v>
      </c>
    </row>
    <row r="2" customFormat="false" ht="15" hidden="false" customHeight="false" outlineLevel="0" collapsed="false">
      <c r="A2" s="2" t="s">
        <v>32</v>
      </c>
    </row>
    <row r="4" customFormat="false" ht="26.85" hidden="false" customHeight="false" outlineLevel="0" collapsed="false">
      <c r="A4" s="10" t="s">
        <v>33</v>
      </c>
      <c r="B4" s="10" t="s">
        <v>8</v>
      </c>
      <c r="C4" s="10" t="s">
        <v>34</v>
      </c>
      <c r="D4" s="10" t="s">
        <v>35</v>
      </c>
      <c r="E4" s="10" t="s">
        <v>36</v>
      </c>
      <c r="F4" s="10" t="s">
        <v>4</v>
      </c>
      <c r="G4" s="10" t="s">
        <v>37</v>
      </c>
      <c r="H4" s="10" t="s">
        <v>38</v>
      </c>
      <c r="I4" s="10" t="s">
        <v>39</v>
      </c>
      <c r="J4" s="10" t="s">
        <v>40</v>
      </c>
      <c r="K4" s="10" t="s">
        <v>41</v>
      </c>
      <c r="L4" s="10" t="s">
        <v>6</v>
      </c>
      <c r="M4" s="10" t="s">
        <v>42</v>
      </c>
      <c r="N4" s="10" t="s">
        <v>25</v>
      </c>
    </row>
    <row r="5" customFormat="false" ht="15" hidden="false" customHeight="false" outlineLevel="0" collapsed="false">
      <c r="A5" s="11"/>
      <c r="B5" s="12" t="s">
        <v>43</v>
      </c>
      <c r="C5" s="12" t="s">
        <v>44</v>
      </c>
      <c r="D5" s="12" t="s">
        <v>10</v>
      </c>
      <c r="E5" s="12" t="s">
        <v>10</v>
      </c>
      <c r="F5" s="12" t="s">
        <v>11</v>
      </c>
      <c r="G5" s="12" t="s">
        <v>45</v>
      </c>
      <c r="H5" s="12" t="s">
        <v>45</v>
      </c>
      <c r="I5" s="13" t="n">
        <v>279.9</v>
      </c>
      <c r="J5" s="13"/>
      <c r="K5" s="12" t="n">
        <v>1480</v>
      </c>
      <c r="L5" s="12" t="n">
        <v>12</v>
      </c>
      <c r="M5" s="13" t="n">
        <v>88.7</v>
      </c>
      <c r="N5" s="12"/>
    </row>
    <row r="6" customFormat="false" ht="15" hidden="false" customHeight="false" outlineLevel="0" collapsed="false">
      <c r="A6" s="11"/>
      <c r="B6" s="14" t="s">
        <v>46</v>
      </c>
      <c r="C6" s="14" t="s">
        <v>44</v>
      </c>
      <c r="D6" s="14" t="s">
        <v>13</v>
      </c>
      <c r="E6" s="14" t="s">
        <v>47</v>
      </c>
      <c r="F6" s="14" t="s">
        <v>14</v>
      </c>
      <c r="G6" s="14" t="s">
        <v>48</v>
      </c>
      <c r="H6" s="14" t="s">
        <v>48</v>
      </c>
      <c r="I6" s="15" t="n">
        <v>279.9</v>
      </c>
      <c r="J6" s="15"/>
      <c r="K6" s="14" t="n">
        <v>1480</v>
      </c>
      <c r="L6" s="14" t="n">
        <v>0</v>
      </c>
      <c r="M6" s="15" t="n">
        <v>88.7</v>
      </c>
      <c r="N6" s="14" t="s">
        <v>49</v>
      </c>
    </row>
    <row r="7" customFormat="false" ht="15" hidden="false" customHeight="false" outlineLevel="0" collapsed="false">
      <c r="A7" s="11"/>
      <c r="B7" s="14" t="s">
        <v>46</v>
      </c>
      <c r="C7" s="14" t="s">
        <v>44</v>
      </c>
      <c r="D7" s="14" t="s">
        <v>16</v>
      </c>
      <c r="E7" s="14" t="s">
        <v>16</v>
      </c>
      <c r="F7" s="14" t="s">
        <v>17</v>
      </c>
      <c r="G7" s="14" t="s">
        <v>50</v>
      </c>
      <c r="H7" s="14" t="s">
        <v>50</v>
      </c>
      <c r="I7" s="15" t="n">
        <v>279.9</v>
      </c>
      <c r="J7" s="15"/>
      <c r="K7" s="14" t="n">
        <v>1460</v>
      </c>
      <c r="L7" s="14" t="n">
        <v>8</v>
      </c>
      <c r="M7" s="15" t="n">
        <v>88.7</v>
      </c>
      <c r="N7" s="14"/>
    </row>
    <row r="8" customFormat="false" ht="15" hidden="false" customHeight="false" outlineLevel="0" collapsed="false">
      <c r="A8" s="11"/>
      <c r="B8" s="12" t="s">
        <v>43</v>
      </c>
      <c r="C8" s="12" t="s">
        <v>51</v>
      </c>
      <c r="D8" s="12" t="s">
        <v>10</v>
      </c>
      <c r="E8" s="12" t="s">
        <v>10</v>
      </c>
      <c r="F8" s="12" t="s">
        <v>11</v>
      </c>
      <c r="G8" s="12" t="s">
        <v>52</v>
      </c>
      <c r="H8" s="12" t="s">
        <v>52</v>
      </c>
      <c r="I8" s="13" t="n">
        <v>279.9</v>
      </c>
      <c r="J8" s="13"/>
      <c r="K8" s="12" t="n">
        <v>1550</v>
      </c>
      <c r="L8" s="12" t="n">
        <v>108</v>
      </c>
      <c r="M8" s="13" t="n">
        <v>88.7</v>
      </c>
      <c r="N8" s="12"/>
    </row>
    <row r="9" customFormat="false" ht="15" hidden="false" customHeight="false" outlineLevel="0" collapsed="false">
      <c r="A9" s="11"/>
      <c r="B9" s="14" t="s">
        <v>46</v>
      </c>
      <c r="C9" s="14" t="s">
        <v>51</v>
      </c>
      <c r="D9" s="14" t="s">
        <v>13</v>
      </c>
      <c r="E9" s="14" t="s">
        <v>47</v>
      </c>
      <c r="F9" s="14" t="s">
        <v>14</v>
      </c>
      <c r="G9" s="14" t="s">
        <v>53</v>
      </c>
      <c r="H9" s="14" t="s">
        <v>53</v>
      </c>
      <c r="I9" s="15" t="n">
        <v>279.9</v>
      </c>
      <c r="J9" s="15"/>
      <c r="K9" s="14" t="n">
        <v>1480</v>
      </c>
      <c r="L9" s="14" t="n">
        <v>15</v>
      </c>
      <c r="M9" s="15" t="n">
        <v>88.7</v>
      </c>
      <c r="N9" s="14" t="s">
        <v>49</v>
      </c>
    </row>
    <row r="10" customFormat="false" ht="15" hidden="false" customHeight="false" outlineLevel="0" collapsed="false">
      <c r="A10" s="11"/>
      <c r="B10" s="14" t="s">
        <v>46</v>
      </c>
      <c r="C10" s="14" t="s">
        <v>51</v>
      </c>
      <c r="D10" s="14" t="s">
        <v>16</v>
      </c>
      <c r="E10" s="14" t="s">
        <v>16</v>
      </c>
      <c r="F10" s="14" t="s">
        <v>17</v>
      </c>
      <c r="G10" s="14" t="s">
        <v>54</v>
      </c>
      <c r="H10" s="14" t="s">
        <v>54</v>
      </c>
      <c r="I10" s="15" t="n">
        <v>279.9</v>
      </c>
      <c r="J10" s="15"/>
      <c r="K10" s="14" t="n">
        <v>1550</v>
      </c>
      <c r="L10" s="14" t="n">
        <v>5</v>
      </c>
      <c r="M10" s="15" t="n">
        <v>88.7</v>
      </c>
      <c r="N10" s="14"/>
    </row>
    <row r="11" customFormat="false" ht="15" hidden="false" customHeight="false" outlineLevel="0" collapsed="false">
      <c r="A11" s="11"/>
      <c r="B11" s="12" t="s">
        <v>43</v>
      </c>
      <c r="C11" s="12" t="s">
        <v>55</v>
      </c>
      <c r="D11" s="12" t="s">
        <v>10</v>
      </c>
      <c r="E11" s="12" t="s">
        <v>10</v>
      </c>
      <c r="F11" s="12" t="s">
        <v>11</v>
      </c>
      <c r="G11" s="12" t="s">
        <v>56</v>
      </c>
      <c r="H11" s="12" t="s">
        <v>56</v>
      </c>
      <c r="I11" s="13" t="n">
        <v>279.9</v>
      </c>
      <c r="J11" s="13"/>
      <c r="K11" s="12" t="n">
        <v>1660</v>
      </c>
      <c r="L11" s="12" t="n">
        <v>100</v>
      </c>
      <c r="M11" s="13" t="n">
        <v>88.7</v>
      </c>
      <c r="N11" s="12"/>
    </row>
    <row r="12" customFormat="false" ht="15" hidden="false" customHeight="false" outlineLevel="0" collapsed="false">
      <c r="A12" s="11"/>
      <c r="B12" s="14" t="s">
        <v>46</v>
      </c>
      <c r="C12" s="14" t="s">
        <v>55</v>
      </c>
      <c r="D12" s="14" t="s">
        <v>13</v>
      </c>
      <c r="E12" s="14" t="s">
        <v>47</v>
      </c>
      <c r="F12" s="14" t="s">
        <v>14</v>
      </c>
      <c r="G12" s="14" t="s">
        <v>57</v>
      </c>
      <c r="H12" s="14" t="s">
        <v>57</v>
      </c>
      <c r="I12" s="15" t="n">
        <v>279.9</v>
      </c>
      <c r="J12" s="15"/>
      <c r="K12" s="14" t="n">
        <v>1480</v>
      </c>
      <c r="L12" s="14" t="n">
        <v>23</v>
      </c>
      <c r="M12" s="15" t="n">
        <v>88.7</v>
      </c>
      <c r="N12" s="14" t="s">
        <v>49</v>
      </c>
    </row>
    <row r="13" customFormat="false" ht="15" hidden="false" customHeight="false" outlineLevel="0" collapsed="false">
      <c r="A13" s="11"/>
      <c r="B13" s="14" t="s">
        <v>46</v>
      </c>
      <c r="C13" s="14" t="s">
        <v>55</v>
      </c>
      <c r="D13" s="14" t="s">
        <v>16</v>
      </c>
      <c r="E13" s="14" t="s">
        <v>16</v>
      </c>
      <c r="F13" s="14" t="s">
        <v>17</v>
      </c>
      <c r="G13" s="14" t="s">
        <v>58</v>
      </c>
      <c r="H13" s="14" t="s">
        <v>58</v>
      </c>
      <c r="I13" s="15" t="n">
        <v>279.9</v>
      </c>
      <c r="J13" s="15"/>
      <c r="K13" s="14" t="n">
        <v>1590</v>
      </c>
      <c r="L13" s="14" t="n">
        <v>0</v>
      </c>
      <c r="M13" s="15" t="n">
        <v>88.7</v>
      </c>
      <c r="N13" s="14"/>
    </row>
    <row r="14" customFormat="false" ht="15" hidden="false" customHeight="false" outlineLevel="0" collapsed="false">
      <c r="A14" s="11"/>
      <c r="B14" s="12" t="s">
        <v>43</v>
      </c>
      <c r="C14" s="12" t="s">
        <v>59</v>
      </c>
      <c r="D14" s="12" t="s">
        <v>10</v>
      </c>
      <c r="E14" s="12" t="s">
        <v>10</v>
      </c>
      <c r="F14" s="12" t="s">
        <v>11</v>
      </c>
      <c r="G14" s="12" t="s">
        <v>60</v>
      </c>
      <c r="H14" s="12" t="s">
        <v>60</v>
      </c>
      <c r="I14" s="13" t="n">
        <v>279.9</v>
      </c>
      <c r="J14" s="13"/>
      <c r="K14" s="12" t="n">
        <v>1680</v>
      </c>
      <c r="L14" s="12" t="n">
        <v>51</v>
      </c>
      <c r="M14" s="13" t="n">
        <v>88.7</v>
      </c>
      <c r="N14" s="12"/>
    </row>
    <row r="15" customFormat="false" ht="15" hidden="false" customHeight="false" outlineLevel="0" collapsed="false">
      <c r="A15" s="11"/>
      <c r="B15" s="14" t="s">
        <v>46</v>
      </c>
      <c r="C15" s="14" t="s">
        <v>59</v>
      </c>
      <c r="D15" s="14" t="s">
        <v>13</v>
      </c>
      <c r="E15" s="14" t="s">
        <v>47</v>
      </c>
      <c r="F15" s="14" t="s">
        <v>14</v>
      </c>
      <c r="G15" s="14" t="s">
        <v>61</v>
      </c>
      <c r="H15" s="14" t="s">
        <v>61</v>
      </c>
      <c r="I15" s="15" t="n">
        <v>279.9</v>
      </c>
      <c r="J15" s="15"/>
      <c r="K15" s="14" t="n">
        <v>1480</v>
      </c>
      <c r="L15" s="14" t="n">
        <v>55</v>
      </c>
      <c r="M15" s="15" t="n">
        <v>88.7</v>
      </c>
      <c r="N15" s="14" t="s">
        <v>49</v>
      </c>
    </row>
    <row r="16" customFormat="false" ht="15" hidden="false" customHeight="false" outlineLevel="0" collapsed="false">
      <c r="A16" s="11"/>
      <c r="B16" s="14" t="s">
        <v>46</v>
      </c>
      <c r="C16" s="14" t="s">
        <v>59</v>
      </c>
      <c r="D16" s="14" t="s">
        <v>16</v>
      </c>
      <c r="E16" s="14" t="s">
        <v>16</v>
      </c>
      <c r="F16" s="14" t="s">
        <v>17</v>
      </c>
      <c r="G16" s="14" t="s">
        <v>62</v>
      </c>
      <c r="H16" s="14" t="s">
        <v>62</v>
      </c>
      <c r="I16" s="15" t="n">
        <v>279.9</v>
      </c>
      <c r="J16" s="15"/>
      <c r="K16" s="14" t="n">
        <v>1660</v>
      </c>
      <c r="L16" s="14" t="n">
        <v>28</v>
      </c>
      <c r="M16" s="15" t="n">
        <v>88.7</v>
      </c>
      <c r="N16" s="14"/>
    </row>
    <row r="17" customFormat="false" ht="15" hidden="false" customHeight="false" outlineLevel="0" collapsed="false">
      <c r="A17" s="11"/>
      <c r="B17" s="12" t="s">
        <v>43</v>
      </c>
      <c r="C17" s="12" t="s">
        <v>63</v>
      </c>
      <c r="D17" s="12" t="s">
        <v>10</v>
      </c>
      <c r="E17" s="12" t="s">
        <v>10</v>
      </c>
      <c r="F17" s="12" t="s">
        <v>11</v>
      </c>
      <c r="G17" s="12" t="s">
        <v>64</v>
      </c>
      <c r="H17" s="12" t="s">
        <v>64</v>
      </c>
      <c r="I17" s="13" t="n">
        <v>279.9</v>
      </c>
      <c r="J17" s="13"/>
      <c r="K17" s="12" t="n">
        <v>1740</v>
      </c>
      <c r="L17" s="12" t="n">
        <v>53</v>
      </c>
      <c r="M17" s="13" t="n">
        <v>88.7</v>
      </c>
      <c r="N17" s="12"/>
    </row>
    <row r="18" customFormat="false" ht="15" hidden="false" customHeight="false" outlineLevel="0" collapsed="false">
      <c r="A18" s="11"/>
      <c r="B18" s="14" t="s">
        <v>46</v>
      </c>
      <c r="C18" s="14" t="s">
        <v>63</v>
      </c>
      <c r="D18" s="14" t="s">
        <v>13</v>
      </c>
      <c r="E18" s="14" t="s">
        <v>47</v>
      </c>
      <c r="F18" s="14" t="s">
        <v>14</v>
      </c>
      <c r="G18" s="14" t="s">
        <v>65</v>
      </c>
      <c r="H18" s="14" t="s">
        <v>65</v>
      </c>
      <c r="I18" s="15" t="n">
        <v>279.9</v>
      </c>
      <c r="J18" s="15"/>
      <c r="K18" s="14" t="n">
        <v>1480</v>
      </c>
      <c r="L18" s="14" t="n">
        <v>29</v>
      </c>
      <c r="M18" s="15" t="n">
        <v>88.7</v>
      </c>
      <c r="N18" s="14" t="s">
        <v>49</v>
      </c>
    </row>
    <row r="19" customFormat="false" ht="15" hidden="false" customHeight="false" outlineLevel="0" collapsed="false">
      <c r="A19" s="11"/>
      <c r="B19" s="14" t="s">
        <v>46</v>
      </c>
      <c r="C19" s="14" t="s">
        <v>63</v>
      </c>
      <c r="D19" s="14" t="s">
        <v>16</v>
      </c>
      <c r="E19" s="14" t="s">
        <v>16</v>
      </c>
      <c r="F19" s="14" t="s">
        <v>17</v>
      </c>
      <c r="G19" s="14" t="s">
        <v>66</v>
      </c>
      <c r="H19" s="14" t="s">
        <v>66</v>
      </c>
      <c r="I19" s="15" t="n">
        <v>279.9</v>
      </c>
      <c r="J19" s="15"/>
      <c r="K19" s="14" t="n">
        <v>1710</v>
      </c>
      <c r="L19" s="14" t="n">
        <v>42</v>
      </c>
      <c r="M19" s="15" t="n">
        <v>88.7</v>
      </c>
      <c r="N19" s="14"/>
    </row>
    <row r="20" customFormat="false" ht="15" hidden="false" customHeight="false" outlineLevel="0" collapsed="false">
      <c r="A20" s="11"/>
      <c r="B20" s="12" t="s">
        <v>43</v>
      </c>
      <c r="C20" s="12" t="s">
        <v>67</v>
      </c>
      <c r="D20" s="12" t="s">
        <v>10</v>
      </c>
      <c r="E20" s="12" t="s">
        <v>10</v>
      </c>
      <c r="F20" s="12" t="s">
        <v>11</v>
      </c>
      <c r="G20" s="12" t="s">
        <v>68</v>
      </c>
      <c r="H20" s="12" t="s">
        <v>68</v>
      </c>
      <c r="I20" s="13" t="n">
        <v>279.9</v>
      </c>
      <c r="J20" s="13"/>
      <c r="K20" s="12" t="n">
        <v>1850</v>
      </c>
      <c r="L20" s="12" t="n">
        <v>25</v>
      </c>
      <c r="M20" s="13" t="n">
        <v>88.7</v>
      </c>
      <c r="N20" s="12"/>
    </row>
    <row r="21" customFormat="false" ht="15" hidden="false" customHeight="false" outlineLevel="0" collapsed="false">
      <c r="A21" s="11"/>
      <c r="B21" s="14" t="s">
        <v>46</v>
      </c>
      <c r="C21" s="14" t="s">
        <v>67</v>
      </c>
      <c r="D21" s="14" t="s">
        <v>13</v>
      </c>
      <c r="E21" s="14" t="s">
        <v>47</v>
      </c>
      <c r="F21" s="14" t="s">
        <v>14</v>
      </c>
      <c r="G21" s="14" t="s">
        <v>69</v>
      </c>
      <c r="H21" s="14" t="s">
        <v>69</v>
      </c>
      <c r="I21" s="15" t="n">
        <v>279.9</v>
      </c>
      <c r="J21" s="15"/>
      <c r="K21" s="14" t="n">
        <v>1480</v>
      </c>
      <c r="L21" s="14" t="n">
        <v>11</v>
      </c>
      <c r="M21" s="15" t="n">
        <v>88.7</v>
      </c>
      <c r="N21" s="14" t="s">
        <v>49</v>
      </c>
    </row>
    <row r="22" customFormat="false" ht="15" hidden="false" customHeight="false" outlineLevel="0" collapsed="false">
      <c r="A22" s="11"/>
      <c r="B22" s="14" t="s">
        <v>46</v>
      </c>
      <c r="C22" s="14" t="s">
        <v>67</v>
      </c>
      <c r="D22" s="14" t="s">
        <v>16</v>
      </c>
      <c r="E22" s="14" t="s">
        <v>16</v>
      </c>
      <c r="F22" s="14" t="s">
        <v>17</v>
      </c>
      <c r="G22" s="14" t="s">
        <v>70</v>
      </c>
      <c r="H22" s="14" t="s">
        <v>70</v>
      </c>
      <c r="I22" s="15" t="n">
        <v>279.9</v>
      </c>
      <c r="J22" s="15"/>
      <c r="K22" s="14" t="n">
        <v>1830</v>
      </c>
      <c r="L22" s="14" t="n">
        <v>8</v>
      </c>
      <c r="M22" s="15" t="n">
        <v>88.7</v>
      </c>
      <c r="N22" s="14"/>
    </row>
    <row r="23" customFormat="false" ht="15" hidden="false" customHeight="false" outlineLevel="0" collapsed="false">
      <c r="A23" s="11"/>
      <c r="B23" s="12" t="s">
        <v>43</v>
      </c>
      <c r="C23" s="12" t="s">
        <v>71</v>
      </c>
      <c r="D23" s="12" t="s">
        <v>10</v>
      </c>
      <c r="E23" s="12" t="s">
        <v>10</v>
      </c>
      <c r="F23" s="12" t="s">
        <v>11</v>
      </c>
      <c r="G23" s="12" t="s">
        <v>72</v>
      </c>
      <c r="H23" s="12" t="s">
        <v>72</v>
      </c>
      <c r="I23" s="13" t="n">
        <v>279.9</v>
      </c>
      <c r="J23" s="13"/>
      <c r="K23" s="12" t="n">
        <v>1890</v>
      </c>
      <c r="L23" s="12" t="n">
        <v>21</v>
      </c>
      <c r="M23" s="13" t="n">
        <v>88.7</v>
      </c>
      <c r="N23" s="12"/>
    </row>
    <row r="24" customFormat="false" ht="15" hidden="false" customHeight="false" outlineLevel="0" collapsed="false">
      <c r="A24" s="11"/>
      <c r="B24" s="14" t="s">
        <v>46</v>
      </c>
      <c r="C24" s="14" t="s">
        <v>71</v>
      </c>
      <c r="D24" s="14" t="s">
        <v>13</v>
      </c>
      <c r="E24" s="14" t="s">
        <v>47</v>
      </c>
      <c r="F24" s="14" t="s">
        <v>14</v>
      </c>
      <c r="G24" s="14" t="s">
        <v>73</v>
      </c>
      <c r="H24" s="14" t="s">
        <v>73</v>
      </c>
      <c r="I24" s="15" t="n">
        <v>279.9</v>
      </c>
      <c r="J24" s="15"/>
      <c r="K24" s="14" t="n">
        <v>1480</v>
      </c>
      <c r="L24" s="14" t="n">
        <v>1</v>
      </c>
      <c r="M24" s="15" t="n">
        <v>88.7</v>
      </c>
      <c r="N24" s="14" t="s">
        <v>49</v>
      </c>
    </row>
    <row r="25" customFormat="false" ht="15" hidden="false" customHeight="false" outlineLevel="0" collapsed="false">
      <c r="A25" s="11"/>
      <c r="B25" s="14" t="s">
        <v>46</v>
      </c>
      <c r="C25" s="14" t="s">
        <v>71</v>
      </c>
      <c r="D25" s="14" t="s">
        <v>16</v>
      </c>
      <c r="E25" s="14" t="s">
        <v>16</v>
      </c>
      <c r="F25" s="14" t="s">
        <v>17</v>
      </c>
      <c r="G25" s="14" t="s">
        <v>74</v>
      </c>
      <c r="H25" s="14" t="s">
        <v>74</v>
      </c>
      <c r="I25" s="15" t="n">
        <v>279.9</v>
      </c>
      <c r="J25" s="15"/>
      <c r="K25" s="14" t="n">
        <v>1870</v>
      </c>
      <c r="L25" s="14" t="n">
        <v>21</v>
      </c>
      <c r="M25" s="15" t="n">
        <v>88.7</v>
      </c>
      <c r="N25" s="14"/>
    </row>
  </sheetData>
  <autoFilter ref="A4:N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52"/>
    <col collapsed="false" customWidth="true" hidden="false" outlineLevel="0" max="8" min="7" style="0" width="2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40"/>
  </cols>
  <sheetData>
    <row r="1" customFormat="false" ht="16.15" hidden="false" customHeight="false" outlineLevel="0" collapsed="false">
      <c r="A1" s="9" t="s">
        <v>75</v>
      </c>
    </row>
    <row r="2" customFormat="false" ht="15" hidden="false" customHeight="false" outlineLevel="0" collapsed="false">
      <c r="A2" s="2" t="s">
        <v>32</v>
      </c>
    </row>
    <row r="4" customFormat="false" ht="26.85" hidden="false" customHeight="false" outlineLevel="0" collapsed="false">
      <c r="A4" s="10" t="s">
        <v>33</v>
      </c>
      <c r="B4" s="10" t="s">
        <v>8</v>
      </c>
      <c r="C4" s="10" t="s">
        <v>34</v>
      </c>
      <c r="D4" s="10" t="s">
        <v>35</v>
      </c>
      <c r="E4" s="10" t="s">
        <v>36</v>
      </c>
      <c r="F4" s="10" t="s">
        <v>4</v>
      </c>
      <c r="G4" s="10" t="s">
        <v>37</v>
      </c>
      <c r="H4" s="10" t="s">
        <v>38</v>
      </c>
      <c r="I4" s="10" t="s">
        <v>39</v>
      </c>
      <c r="J4" s="10" t="s">
        <v>40</v>
      </c>
      <c r="K4" s="10" t="s">
        <v>41</v>
      </c>
      <c r="L4" s="10" t="s">
        <v>6</v>
      </c>
      <c r="M4" s="10" t="s">
        <v>42</v>
      </c>
      <c r="N4" s="10" t="s">
        <v>25</v>
      </c>
    </row>
    <row r="5" customFormat="false" ht="15" hidden="false" customHeight="false" outlineLevel="0" collapsed="false">
      <c r="A5" s="11"/>
      <c r="B5" s="12" t="s">
        <v>43</v>
      </c>
      <c r="C5" s="12" t="s">
        <v>76</v>
      </c>
      <c r="D5" s="12" t="s">
        <v>10</v>
      </c>
      <c r="E5" s="12" t="s">
        <v>10</v>
      </c>
      <c r="F5" s="12" t="s">
        <v>21</v>
      </c>
      <c r="G5" s="12" t="s">
        <v>77</v>
      </c>
      <c r="H5" s="12" t="s">
        <v>77</v>
      </c>
      <c r="I5" s="13" t="n">
        <v>279.9</v>
      </c>
      <c r="J5" s="13"/>
      <c r="K5" s="12" t="n">
        <v>1330</v>
      </c>
      <c r="L5" s="12" t="n">
        <v>12</v>
      </c>
      <c r="M5" s="13" t="n">
        <v>88.7</v>
      </c>
      <c r="N5" s="12"/>
    </row>
    <row r="6" customFormat="false" ht="15" hidden="false" customHeight="false" outlineLevel="0" collapsed="false">
      <c r="A6" s="11"/>
      <c r="B6" s="14" t="s">
        <v>46</v>
      </c>
      <c r="C6" s="14" t="s">
        <v>76</v>
      </c>
      <c r="D6" s="14" t="s">
        <v>13</v>
      </c>
      <c r="E6" s="14" t="s">
        <v>47</v>
      </c>
      <c r="F6" s="14" t="s">
        <v>22</v>
      </c>
      <c r="G6" s="14" t="s">
        <v>78</v>
      </c>
      <c r="H6" s="14" t="s">
        <v>78</v>
      </c>
      <c r="I6" s="15" t="n">
        <v>279.9</v>
      </c>
      <c r="J6" s="15"/>
      <c r="K6" s="14" t="n">
        <v>1290</v>
      </c>
      <c r="L6" s="14" t="n">
        <v>11</v>
      </c>
      <c r="M6" s="15" t="n">
        <v>88.7</v>
      </c>
      <c r="N6" s="14" t="s">
        <v>79</v>
      </c>
    </row>
    <row r="7" customFormat="false" ht="15" hidden="false" customHeight="false" outlineLevel="0" collapsed="false">
      <c r="A7" s="11"/>
      <c r="B7" s="14" t="s">
        <v>46</v>
      </c>
      <c r="C7" s="14" t="s">
        <v>76</v>
      </c>
      <c r="D7" s="14" t="s">
        <v>16</v>
      </c>
      <c r="E7" s="14" t="s">
        <v>16</v>
      </c>
      <c r="F7" s="14" t="s">
        <v>23</v>
      </c>
      <c r="G7" s="14" t="s">
        <v>80</v>
      </c>
      <c r="H7" s="14" t="s">
        <v>80</v>
      </c>
      <c r="I7" s="15" t="n">
        <v>279.9</v>
      </c>
      <c r="J7" s="15"/>
      <c r="K7" s="14" t="n">
        <v>1290</v>
      </c>
      <c r="L7" s="14" t="n">
        <v>21</v>
      </c>
      <c r="M7" s="15" t="n">
        <v>88.7</v>
      </c>
      <c r="N7" s="14"/>
    </row>
    <row r="8" customFormat="false" ht="15" hidden="false" customHeight="false" outlineLevel="0" collapsed="false">
      <c r="A8" s="11"/>
      <c r="B8" s="12" t="s">
        <v>43</v>
      </c>
      <c r="C8" s="12" t="s">
        <v>44</v>
      </c>
      <c r="D8" s="12" t="s">
        <v>10</v>
      </c>
      <c r="E8" s="12" t="s">
        <v>10</v>
      </c>
      <c r="F8" s="12" t="s">
        <v>21</v>
      </c>
      <c r="G8" s="12" t="s">
        <v>81</v>
      </c>
      <c r="H8" s="12" t="s">
        <v>81</v>
      </c>
      <c r="I8" s="13" t="n">
        <v>279.9</v>
      </c>
      <c r="J8" s="13"/>
      <c r="K8" s="12" t="n">
        <v>1390</v>
      </c>
      <c r="L8" s="12" t="n">
        <v>28</v>
      </c>
      <c r="M8" s="13" t="n">
        <v>88.7</v>
      </c>
      <c r="N8" s="12"/>
    </row>
    <row r="9" customFormat="false" ht="15" hidden="false" customHeight="false" outlineLevel="0" collapsed="false">
      <c r="A9" s="11"/>
      <c r="B9" s="14" t="s">
        <v>46</v>
      </c>
      <c r="C9" s="14" t="s">
        <v>44</v>
      </c>
      <c r="D9" s="14" t="s">
        <v>13</v>
      </c>
      <c r="E9" s="14" t="s">
        <v>47</v>
      </c>
      <c r="F9" s="14" t="s">
        <v>22</v>
      </c>
      <c r="G9" s="14" t="s">
        <v>82</v>
      </c>
      <c r="H9" s="14" t="s">
        <v>82</v>
      </c>
      <c r="I9" s="15" t="n">
        <v>279.9</v>
      </c>
      <c r="J9" s="15"/>
      <c r="K9" s="14" t="n">
        <v>1370</v>
      </c>
      <c r="L9" s="14" t="n">
        <v>32</v>
      </c>
      <c r="M9" s="15" t="n">
        <v>88.7</v>
      </c>
      <c r="N9" s="14" t="s">
        <v>79</v>
      </c>
    </row>
    <row r="10" customFormat="false" ht="15" hidden="false" customHeight="false" outlineLevel="0" collapsed="false">
      <c r="A10" s="11"/>
      <c r="B10" s="14" t="s">
        <v>46</v>
      </c>
      <c r="C10" s="14" t="s">
        <v>44</v>
      </c>
      <c r="D10" s="14" t="s">
        <v>16</v>
      </c>
      <c r="E10" s="14" t="s">
        <v>16</v>
      </c>
      <c r="F10" s="14" t="s">
        <v>23</v>
      </c>
      <c r="G10" s="14" t="s">
        <v>83</v>
      </c>
      <c r="H10" s="14" t="s">
        <v>83</v>
      </c>
      <c r="I10" s="15" t="n">
        <v>279.9</v>
      </c>
      <c r="J10" s="15"/>
      <c r="K10" s="14" t="n">
        <v>1370</v>
      </c>
      <c r="L10" s="14" t="n">
        <v>43</v>
      </c>
      <c r="M10" s="15" t="n">
        <v>88.7</v>
      </c>
      <c r="N10" s="14"/>
    </row>
    <row r="11" customFormat="false" ht="15" hidden="false" customHeight="false" outlineLevel="0" collapsed="false">
      <c r="A11" s="11"/>
      <c r="B11" s="12" t="s">
        <v>43</v>
      </c>
      <c r="C11" s="12" t="s">
        <v>51</v>
      </c>
      <c r="D11" s="12" t="s">
        <v>10</v>
      </c>
      <c r="E11" s="12" t="s">
        <v>10</v>
      </c>
      <c r="F11" s="12" t="s">
        <v>21</v>
      </c>
      <c r="G11" s="12" t="s">
        <v>84</v>
      </c>
      <c r="H11" s="12" t="s">
        <v>84</v>
      </c>
      <c r="I11" s="13" t="n">
        <v>279.9</v>
      </c>
      <c r="J11" s="13"/>
      <c r="K11" s="12" t="n">
        <v>1460</v>
      </c>
      <c r="L11" s="12" t="n">
        <v>0</v>
      </c>
      <c r="M11" s="13" t="n">
        <v>88.7</v>
      </c>
      <c r="N11" s="12"/>
    </row>
    <row r="12" customFormat="false" ht="15" hidden="false" customHeight="false" outlineLevel="0" collapsed="false">
      <c r="A12" s="11"/>
      <c r="B12" s="14" t="s">
        <v>46</v>
      </c>
      <c r="C12" s="14" t="s">
        <v>51</v>
      </c>
      <c r="D12" s="14" t="s">
        <v>13</v>
      </c>
      <c r="E12" s="14" t="s">
        <v>47</v>
      </c>
      <c r="F12" s="14" t="s">
        <v>22</v>
      </c>
      <c r="G12" s="14" t="s">
        <v>85</v>
      </c>
      <c r="H12" s="14" t="s">
        <v>85</v>
      </c>
      <c r="I12" s="15" t="n">
        <v>279.9</v>
      </c>
      <c r="J12" s="15"/>
      <c r="K12" s="14" t="n">
        <v>1450</v>
      </c>
      <c r="L12" s="14" t="n">
        <v>36</v>
      </c>
      <c r="M12" s="15" t="n">
        <v>88.7</v>
      </c>
      <c r="N12" s="14" t="s">
        <v>79</v>
      </c>
    </row>
    <row r="13" customFormat="false" ht="15" hidden="false" customHeight="false" outlineLevel="0" collapsed="false">
      <c r="A13" s="11"/>
      <c r="B13" s="14" t="s">
        <v>46</v>
      </c>
      <c r="C13" s="14" t="s">
        <v>51</v>
      </c>
      <c r="D13" s="14" t="s">
        <v>16</v>
      </c>
      <c r="E13" s="14" t="s">
        <v>16</v>
      </c>
      <c r="F13" s="14" t="s">
        <v>23</v>
      </c>
      <c r="G13" s="14" t="s">
        <v>86</v>
      </c>
      <c r="H13" s="14" t="s">
        <v>86</v>
      </c>
      <c r="I13" s="15" t="n">
        <v>279.9</v>
      </c>
      <c r="J13" s="15"/>
      <c r="K13" s="14" t="n">
        <v>1450</v>
      </c>
      <c r="L13" s="14" t="n">
        <v>1</v>
      </c>
      <c r="M13" s="15" t="n">
        <v>88.7</v>
      </c>
      <c r="N13" s="14"/>
    </row>
    <row r="14" customFormat="false" ht="15" hidden="false" customHeight="false" outlineLevel="0" collapsed="false">
      <c r="A14" s="11"/>
      <c r="B14" s="12" t="s">
        <v>43</v>
      </c>
      <c r="C14" s="12" t="s">
        <v>55</v>
      </c>
      <c r="D14" s="12" t="s">
        <v>10</v>
      </c>
      <c r="E14" s="12" t="s">
        <v>10</v>
      </c>
      <c r="F14" s="12" t="s">
        <v>21</v>
      </c>
      <c r="G14" s="12" t="s">
        <v>87</v>
      </c>
      <c r="H14" s="12" t="s">
        <v>87</v>
      </c>
      <c r="I14" s="13" t="n">
        <v>279.9</v>
      </c>
      <c r="J14" s="13"/>
      <c r="K14" s="12" t="n">
        <v>1540</v>
      </c>
      <c r="L14" s="12" t="n">
        <v>21</v>
      </c>
      <c r="M14" s="13" t="n">
        <v>88.7</v>
      </c>
      <c r="N14" s="12"/>
    </row>
    <row r="15" customFormat="false" ht="15" hidden="false" customHeight="false" outlineLevel="0" collapsed="false">
      <c r="A15" s="11"/>
      <c r="B15" s="14" t="s">
        <v>46</v>
      </c>
      <c r="C15" s="14" t="s">
        <v>55</v>
      </c>
      <c r="D15" s="14" t="s">
        <v>13</v>
      </c>
      <c r="E15" s="14" t="s">
        <v>47</v>
      </c>
      <c r="F15" s="14" t="s">
        <v>22</v>
      </c>
      <c r="G15" s="14" t="s">
        <v>88</v>
      </c>
      <c r="H15" s="14" t="s">
        <v>88</v>
      </c>
      <c r="I15" s="15" t="n">
        <v>279.9</v>
      </c>
      <c r="J15" s="15"/>
      <c r="K15" s="14" t="n">
        <v>1490</v>
      </c>
      <c r="L15" s="14" t="n">
        <v>4</v>
      </c>
      <c r="M15" s="15" t="n">
        <v>88.7</v>
      </c>
      <c r="N15" s="14" t="s">
        <v>79</v>
      </c>
    </row>
    <row r="16" customFormat="false" ht="15" hidden="false" customHeight="false" outlineLevel="0" collapsed="false">
      <c r="A16" s="11"/>
      <c r="B16" s="14" t="s">
        <v>46</v>
      </c>
      <c r="C16" s="14" t="s">
        <v>55</v>
      </c>
      <c r="D16" s="14" t="s">
        <v>16</v>
      </c>
      <c r="E16" s="14" t="s">
        <v>16</v>
      </c>
      <c r="F16" s="14" t="s">
        <v>23</v>
      </c>
      <c r="G16" s="14" t="s">
        <v>89</v>
      </c>
      <c r="H16" s="14" t="s">
        <v>89</v>
      </c>
      <c r="I16" s="15" t="n">
        <v>279.9</v>
      </c>
      <c r="J16" s="15"/>
      <c r="K16" s="14" t="n">
        <v>1490</v>
      </c>
      <c r="L16" s="14" t="n">
        <v>0</v>
      </c>
      <c r="M16" s="15" t="n">
        <v>88.7</v>
      </c>
      <c r="N16" s="14"/>
    </row>
    <row r="17" customFormat="false" ht="15" hidden="false" customHeight="false" outlineLevel="0" collapsed="false">
      <c r="A17" s="11"/>
      <c r="B17" s="12" t="s">
        <v>43</v>
      </c>
      <c r="C17" s="12" t="s">
        <v>59</v>
      </c>
      <c r="D17" s="12" t="s">
        <v>10</v>
      </c>
      <c r="E17" s="12" t="s">
        <v>10</v>
      </c>
      <c r="F17" s="12" t="s">
        <v>21</v>
      </c>
      <c r="G17" s="12" t="s">
        <v>90</v>
      </c>
      <c r="H17" s="12" t="s">
        <v>90</v>
      </c>
      <c r="I17" s="13" t="n">
        <v>279.9</v>
      </c>
      <c r="J17" s="13"/>
      <c r="K17" s="12" t="n">
        <v>1580</v>
      </c>
      <c r="L17" s="12" t="n">
        <v>18</v>
      </c>
      <c r="M17" s="13" t="n">
        <v>88.7</v>
      </c>
      <c r="N17" s="12"/>
    </row>
    <row r="18" customFormat="false" ht="15" hidden="false" customHeight="false" outlineLevel="0" collapsed="false">
      <c r="A18" s="11"/>
      <c r="B18" s="14" t="s">
        <v>46</v>
      </c>
      <c r="C18" s="14" t="s">
        <v>59</v>
      </c>
      <c r="D18" s="14" t="s">
        <v>13</v>
      </c>
      <c r="E18" s="14" t="s">
        <v>47</v>
      </c>
      <c r="F18" s="14" t="s">
        <v>22</v>
      </c>
      <c r="G18" s="14" t="s">
        <v>91</v>
      </c>
      <c r="H18" s="14" t="s">
        <v>91</v>
      </c>
      <c r="I18" s="15" t="n">
        <v>279.9</v>
      </c>
      <c r="J18" s="15"/>
      <c r="K18" s="14" t="n">
        <v>1540</v>
      </c>
      <c r="L18" s="14" t="n">
        <v>0</v>
      </c>
      <c r="M18" s="15" t="n">
        <v>88.7</v>
      </c>
      <c r="N18" s="14" t="s">
        <v>79</v>
      </c>
    </row>
    <row r="19" customFormat="false" ht="15" hidden="false" customHeight="false" outlineLevel="0" collapsed="false">
      <c r="A19" s="11"/>
      <c r="B19" s="14" t="s">
        <v>46</v>
      </c>
      <c r="C19" s="14" t="s">
        <v>59</v>
      </c>
      <c r="D19" s="14" t="s">
        <v>16</v>
      </c>
      <c r="E19" s="14" t="s">
        <v>16</v>
      </c>
      <c r="F19" s="14" t="s">
        <v>23</v>
      </c>
      <c r="G19" s="14" t="s">
        <v>92</v>
      </c>
      <c r="H19" s="14" t="s">
        <v>92</v>
      </c>
      <c r="I19" s="15" t="n">
        <v>279.9</v>
      </c>
      <c r="J19" s="15"/>
      <c r="K19" s="14" t="n">
        <v>1540</v>
      </c>
      <c r="L19" s="14" t="n">
        <v>9</v>
      </c>
      <c r="M19" s="15" t="n">
        <v>88.7</v>
      </c>
      <c r="N19" s="14"/>
    </row>
    <row r="20" customFormat="false" ht="15" hidden="false" customHeight="false" outlineLevel="0" collapsed="false">
      <c r="A20" s="11"/>
      <c r="B20" s="12" t="s">
        <v>43</v>
      </c>
      <c r="C20" s="12" t="s">
        <v>63</v>
      </c>
      <c r="D20" s="12" t="s">
        <v>10</v>
      </c>
      <c r="E20" s="12" t="s">
        <v>10</v>
      </c>
      <c r="F20" s="12" t="s">
        <v>21</v>
      </c>
      <c r="G20" s="12" t="s">
        <v>93</v>
      </c>
      <c r="H20" s="12" t="s">
        <v>93</v>
      </c>
      <c r="I20" s="13" t="n">
        <v>279.9</v>
      </c>
      <c r="J20" s="13"/>
      <c r="K20" s="12" t="n">
        <v>1660</v>
      </c>
      <c r="L20" s="12" t="n">
        <v>22</v>
      </c>
      <c r="M20" s="13" t="n">
        <v>88.7</v>
      </c>
      <c r="N20" s="12"/>
    </row>
    <row r="21" customFormat="false" ht="15" hidden="false" customHeight="false" outlineLevel="0" collapsed="false">
      <c r="A21" s="11"/>
      <c r="B21" s="14" t="s">
        <v>46</v>
      </c>
      <c r="C21" s="14" t="s">
        <v>63</v>
      </c>
      <c r="D21" s="14" t="s">
        <v>13</v>
      </c>
      <c r="E21" s="14" t="s">
        <v>47</v>
      </c>
      <c r="F21" s="14" t="s">
        <v>22</v>
      </c>
      <c r="G21" s="14" t="s">
        <v>94</v>
      </c>
      <c r="H21" s="14" t="s">
        <v>94</v>
      </c>
      <c r="I21" s="15" t="n">
        <v>279.9</v>
      </c>
      <c r="J21" s="15"/>
      <c r="K21" s="14" t="n">
        <v>1630</v>
      </c>
      <c r="L21" s="14" t="n">
        <v>0</v>
      </c>
      <c r="M21" s="15" t="n">
        <v>88.7</v>
      </c>
      <c r="N21" s="14" t="s">
        <v>79</v>
      </c>
    </row>
    <row r="22" customFormat="false" ht="15" hidden="false" customHeight="false" outlineLevel="0" collapsed="false">
      <c r="A22" s="11"/>
      <c r="B22" s="14" t="s">
        <v>46</v>
      </c>
      <c r="C22" s="14" t="s">
        <v>63</v>
      </c>
      <c r="D22" s="14" t="s">
        <v>16</v>
      </c>
      <c r="E22" s="14" t="s">
        <v>16</v>
      </c>
      <c r="F22" s="14" t="s">
        <v>23</v>
      </c>
      <c r="G22" s="14" t="s">
        <v>95</v>
      </c>
      <c r="H22" s="14" t="s">
        <v>95</v>
      </c>
      <c r="I22" s="15" t="n">
        <v>279.9</v>
      </c>
      <c r="J22" s="15"/>
      <c r="K22" s="14" t="n">
        <v>1630</v>
      </c>
      <c r="L22" s="14" t="n">
        <v>0</v>
      </c>
      <c r="M22" s="15" t="n">
        <v>88.7</v>
      </c>
      <c r="N22" s="14"/>
    </row>
    <row r="23" customFormat="false" ht="15" hidden="false" customHeight="false" outlineLevel="0" collapsed="false">
      <c r="A23" s="11"/>
      <c r="B23" s="12" t="s">
        <v>43</v>
      </c>
      <c r="C23" s="12" t="s">
        <v>67</v>
      </c>
      <c r="D23" s="12" t="s">
        <v>10</v>
      </c>
      <c r="E23" s="12" t="s">
        <v>10</v>
      </c>
      <c r="F23" s="12" t="s">
        <v>21</v>
      </c>
      <c r="G23" s="12" t="s">
        <v>96</v>
      </c>
      <c r="H23" s="12" t="s">
        <v>96</v>
      </c>
      <c r="I23" s="13" t="n">
        <v>279.9</v>
      </c>
      <c r="J23" s="13"/>
      <c r="K23" s="12" t="n">
        <v>1740</v>
      </c>
      <c r="L23" s="12" t="n">
        <v>0</v>
      </c>
      <c r="M23" s="13" t="n">
        <v>88.7</v>
      </c>
      <c r="N23" s="12"/>
    </row>
    <row r="24" customFormat="false" ht="15" hidden="false" customHeight="false" outlineLevel="0" collapsed="false">
      <c r="A24" s="11"/>
      <c r="B24" s="14" t="s">
        <v>46</v>
      </c>
      <c r="C24" s="14" t="s">
        <v>67</v>
      </c>
      <c r="D24" s="14" t="s">
        <v>13</v>
      </c>
      <c r="E24" s="14" t="s">
        <v>47</v>
      </c>
      <c r="F24" s="14" t="s">
        <v>22</v>
      </c>
      <c r="G24" s="14" t="s">
        <v>97</v>
      </c>
      <c r="H24" s="14" t="s">
        <v>97</v>
      </c>
      <c r="I24" s="15" t="n">
        <v>279.9</v>
      </c>
      <c r="J24" s="15"/>
      <c r="K24" s="14" t="n">
        <v>1710</v>
      </c>
      <c r="L24" s="14" t="n">
        <v>0</v>
      </c>
      <c r="M24" s="15" t="n">
        <v>88.7</v>
      </c>
      <c r="N24" s="14" t="s">
        <v>79</v>
      </c>
    </row>
    <row r="25" customFormat="false" ht="15" hidden="false" customHeight="false" outlineLevel="0" collapsed="false">
      <c r="A25" s="11"/>
      <c r="B25" s="14" t="s">
        <v>46</v>
      </c>
      <c r="C25" s="14" t="s">
        <v>67</v>
      </c>
      <c r="D25" s="14" t="s">
        <v>16</v>
      </c>
      <c r="E25" s="14" t="s">
        <v>16</v>
      </c>
      <c r="F25" s="14" t="s">
        <v>23</v>
      </c>
      <c r="G25" s="14" t="s">
        <v>98</v>
      </c>
      <c r="H25" s="14" t="s">
        <v>98</v>
      </c>
      <c r="I25" s="15" t="n">
        <v>279.9</v>
      </c>
      <c r="J25" s="15"/>
      <c r="K25" s="14" t="n">
        <v>1710</v>
      </c>
      <c r="L25" s="14" t="n">
        <v>0</v>
      </c>
      <c r="M25" s="15" t="n">
        <v>88.7</v>
      </c>
      <c r="N25" s="14"/>
    </row>
    <row r="26" customFormat="false" ht="15" hidden="false" customHeight="false" outlineLevel="0" collapsed="false">
      <c r="A26" s="11"/>
      <c r="B26" s="12" t="s">
        <v>43</v>
      </c>
      <c r="C26" s="12" t="s">
        <v>71</v>
      </c>
      <c r="D26" s="12" t="s">
        <v>10</v>
      </c>
      <c r="E26" s="12" t="s">
        <v>10</v>
      </c>
      <c r="F26" s="12" t="s">
        <v>21</v>
      </c>
      <c r="G26" s="12" t="s">
        <v>99</v>
      </c>
      <c r="H26" s="12" t="s">
        <v>99</v>
      </c>
      <c r="I26" s="13" t="n">
        <v>279.9</v>
      </c>
      <c r="J26" s="13"/>
      <c r="K26" s="12" t="n">
        <v>1850</v>
      </c>
      <c r="L26" s="12" t="n">
        <v>0</v>
      </c>
      <c r="M26" s="13" t="n">
        <v>88.7</v>
      </c>
      <c r="N26" s="12"/>
    </row>
    <row r="27" customFormat="false" ht="15" hidden="false" customHeight="false" outlineLevel="0" collapsed="false">
      <c r="A27" s="11"/>
      <c r="B27" s="14" t="s">
        <v>46</v>
      </c>
      <c r="C27" s="14" t="s">
        <v>71</v>
      </c>
      <c r="D27" s="14" t="s">
        <v>13</v>
      </c>
      <c r="E27" s="14" t="s">
        <v>47</v>
      </c>
      <c r="F27" s="14" t="s">
        <v>22</v>
      </c>
      <c r="G27" s="14" t="s">
        <v>100</v>
      </c>
      <c r="H27" s="14" t="s">
        <v>100</v>
      </c>
      <c r="I27" s="15" t="n">
        <v>279.9</v>
      </c>
      <c r="J27" s="15"/>
      <c r="K27" s="14" t="n">
        <v>1830</v>
      </c>
      <c r="L27" s="14" t="n">
        <v>0</v>
      </c>
      <c r="M27" s="15" t="n">
        <v>88.7</v>
      </c>
      <c r="N27" s="14" t="s">
        <v>79</v>
      </c>
    </row>
    <row r="28" customFormat="false" ht="15" hidden="false" customHeight="false" outlineLevel="0" collapsed="false">
      <c r="A28" s="11"/>
      <c r="B28" s="14" t="s">
        <v>46</v>
      </c>
      <c r="C28" s="14" t="s">
        <v>71</v>
      </c>
      <c r="D28" s="14" t="s">
        <v>16</v>
      </c>
      <c r="E28" s="14" t="s">
        <v>16</v>
      </c>
      <c r="F28" s="14" t="s">
        <v>23</v>
      </c>
      <c r="G28" s="14" t="s">
        <v>101</v>
      </c>
      <c r="H28" s="14" t="s">
        <v>101</v>
      </c>
      <c r="I28" s="15" t="n">
        <v>279.9</v>
      </c>
      <c r="J28" s="15"/>
      <c r="K28" s="14" t="n">
        <v>1830</v>
      </c>
      <c r="L28" s="14" t="n">
        <v>0</v>
      </c>
      <c r="M28" s="15" t="n">
        <v>88.7</v>
      </c>
      <c r="N28" s="14"/>
    </row>
  </sheetData>
  <autoFilter ref="A4:N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2026-10-15T13:01:53Z</dcterms:created>
  <dc:creator>openpyxl</dc:creator>
  <dc:description/>
  <dc:language>en-US</dc:language>
  <cp:lastModifiedBy/>
  <dcterms:modified xsi:type="dcterms:W3CDTF">2026-10-15T13:01:53Z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